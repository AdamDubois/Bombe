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48d707b016f254/"/>
    </mc:Choice>
  </mc:AlternateContent>
  <xr:revisionPtr revIDLastSave="0" documentId="8_{F3B28BA4-0B21-4BB3-81B2-BBE23C49ED23}" xr6:coauthVersionLast="47" xr6:coauthVersionMax="47" xr10:uidLastSave="{00000000-0000-0000-0000-000000000000}"/>
  <bookViews>
    <workbookView xWindow="2340" yWindow="2340" windowWidth="28800" windowHeight="15345" xr2:uid="{00000000-000D-0000-FFFF-FFFF00000000}"/>
  </bookViews>
  <sheets>
    <sheet name="Liste" sheetId="1" r:id="rId1"/>
    <sheet name="Commande" sheetId="5" r:id="rId2"/>
    <sheet name="Inf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O5" i="5"/>
  <c r="K5" i="5"/>
  <c r="I5" i="5"/>
  <c r="D33" i="5"/>
  <c r="D34" i="5"/>
  <c r="D31" i="5"/>
  <c r="D32" i="5"/>
  <c r="D29" i="5"/>
  <c r="D30" i="5"/>
  <c r="D27" i="5"/>
  <c r="D28" i="5"/>
  <c r="D23" i="5"/>
  <c r="D24" i="5"/>
  <c r="D25" i="5"/>
  <c r="D26" i="5"/>
  <c r="D21" i="5"/>
  <c r="D22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5" i="5"/>
  <c r="D6" i="1"/>
  <c r="G6" i="1" s="1"/>
  <c r="G4" i="1"/>
  <c r="G5" i="1"/>
  <c r="G7" i="1"/>
  <c r="G8" i="1"/>
  <c r="G9" i="1"/>
  <c r="G10" i="1"/>
  <c r="G11" i="1"/>
  <c r="G12" i="1"/>
  <c r="G13" i="1"/>
  <c r="G14" i="1"/>
  <c r="G15" i="1"/>
  <c r="G3" i="1"/>
  <c r="G2" i="1"/>
  <c r="G17" i="1" l="1"/>
  <c r="G18" i="1"/>
  <c r="G19" i="1" s="1"/>
</calcChain>
</file>

<file path=xl/sharedStrings.xml><?xml version="1.0" encoding="utf-8"?>
<sst xmlns="http://schemas.openxmlformats.org/spreadsheetml/2006/main" count="168" uniqueCount="136">
  <si>
    <t>Description</t>
  </si>
  <si>
    <t>Lien Web chez le fournisseur</t>
  </si>
  <si>
    <t>Prix unitaire</t>
  </si>
  <si>
    <t>Quantité</t>
  </si>
  <si>
    <t>Total</t>
  </si>
  <si>
    <t>Sous-total</t>
  </si>
  <si>
    <t>Taxes</t>
  </si>
  <si>
    <t>Grand Total</t>
  </si>
  <si>
    <t>Transport</t>
  </si>
  <si>
    <t>Dans l'évaluation des coûts, ne pas oublier:</t>
  </si>
  <si>
    <t>Les cartes de développements</t>
  </si>
  <si>
    <t>Les PCB (prévoir 50$ comme frais de livraisons)</t>
  </si>
  <si>
    <t>Les connecteurs</t>
  </si>
  <si>
    <t>Les câbles ou fils si longues distances</t>
  </si>
  <si>
    <t>Les boîtiers</t>
  </si>
  <si>
    <t>Les cellules en bleues doivent se calculer automatiquement (utiliser une formule).</t>
  </si>
  <si>
    <t>Ne pas mettre les composants discrets (résistances, condensateurs, etc) de moins de  $2.00</t>
  </si>
  <si>
    <t>Raspberry Pi 4 Model B/4GB</t>
  </si>
  <si>
    <t>Raspberry Pi</t>
  </si>
  <si>
    <t>https://www.pishop.ca/product/raspberry-pi-4-model-b-4gb/?searchid=0&amp;search_query=Pi+4%60</t>
  </si>
  <si>
    <t>WiFi Development Tools - 802.11 ESP32-C3 general-purpose development board, embeds ESP32-C3-WROOM-02U-N4, 4 MB flash, with pin header</t>
  </si>
  <si>
    <t>https://www.mouser.ca/ProductDetail/Espressif-Systems/ESP32-C3-DevKitC-02U?qs=Wj%2FVkw3K%252BMATroZS6qcRPw%3D%3D&amp;srsltid=AfmBOop4dOA_W64zC8mGJNEV9XQkA5mahy2ELQJGcGSCq69zkxNnXSsJ</t>
  </si>
  <si>
    <t>ESP32-C3-DevKitC-02U</t>
  </si>
  <si>
    <t>https://www.pelican.com/ca/en/product/cases/1500?sku=1500-001-110</t>
  </si>
  <si>
    <t>1500 Protector Case</t>
  </si>
  <si>
    <t>Mallete Pelican modèle 1500</t>
  </si>
  <si>
    <t>10.1inch Capacitive Touch Screen LCD (B) with Case, 1280×800, HDMI, IPS Screen, Low Power</t>
  </si>
  <si>
    <t>https://www.waveshare.com/10.1inch-hdmi-lcd-b-with-case.htm</t>
  </si>
  <si>
    <t>0.1inch HDMI LCD (B) (with case)</t>
  </si>
  <si>
    <t>PCBs</t>
  </si>
  <si>
    <t>Cartes électronique pour le projet. Comprends la carte principale et celle pour les RFID</t>
  </si>
  <si>
    <t>https://jlcpcb.com/?from=VGB&amp;utm_source=google&amp;utm_medium=cpc&amp;utm_campaign=13448786080&amp;utm_content=789450225270&amp;utm_term=p_jlcpcb&amp;adgroupid=120688669102&amp;utm_network=g_&amp;gad_source=1&amp;gad_campaignid=13448786080&amp;gbraid=0AAAAACUKBgTdJcc1hZeTUIw6JDYJ2iz0B&amp;gclid=Cj0KCQjwy_fOBhC6ARIsAHKFB7-wgIqX7sDG-9djyBGMz_9qNFyXqWfArIvAGk4lsY05awzY65SoxvoaAi5dEALw_wcB</t>
  </si>
  <si>
    <t>Total item</t>
  </si>
  <si>
    <t>Fournisseur</t>
  </si>
  <si>
    <t># Modèle pour commande</t>
  </si>
  <si>
    <t>Hyperlien pour commande (si disponible) ou soumission</t>
  </si>
  <si>
    <t>CAP CER 0.1UF 16V X7R 0805, CAP CER 0.1UF 25V X7R 0805</t>
  </si>
  <si>
    <t>mouser.ca</t>
  </si>
  <si>
    <t>80-C0805C104M4R</t>
  </si>
  <si>
    <t>https://www.mouser.ca/ProductDetail/KEMET/C0805C104M4RACTU?qs=VOOUd%252Bza08rn8%252BKVjcWMVQ%3D%3D</t>
  </si>
  <si>
    <t>Single Color LEDs SMD 0805 GREEN 560nm</t>
  </si>
  <si>
    <t>645-5975316507F</t>
  </si>
  <si>
    <t>https://www.mouser.ca/ProductDetail/Dialight/5975316507F?qs=gTYE2QTfZfT42%252BCs2jfhAg%3D%3D</t>
  </si>
  <si>
    <t>Fuse Holder T/H 2 IN 1 AUTO BLDE HOLDER, YELLOW 20A</t>
  </si>
  <si>
    <t>534-3557-20</t>
  </si>
  <si>
    <t>https://www.mouser.ca/ProductDetail/Keystone-Electronics/3557-20?qs=iR2ablhfrmF%2FWhSZXEYN7g%3D%3D</t>
  </si>
  <si>
    <t>Fuse Holder T/H 2 IN 1 AUTO BLDE HOLDER, RED 10A</t>
  </si>
  <si>
    <t>534-3557-10</t>
  </si>
  <si>
    <t>https://www.mouser.ca/ProductDetail/Keystone-Electronics/3557-10?qs=iR2ablhfrmF7t%2F4oUDx%252B%2Fw%3D%3D</t>
  </si>
  <si>
    <t>Headers &amp; Wire Housings 24 CRT VERT HEADER</t>
  </si>
  <si>
    <t>538-39-29-9243</t>
  </si>
  <si>
    <t>https://www.mouser.ca/ProductDetail/Molex/39-29-9243?qs=DQ3LI50eFWbK%252BUDchTyndA%3D%3D</t>
  </si>
  <si>
    <t>Headers &amp; Wire Housings .100 Shrouded Terminal Strip</t>
  </si>
  <si>
    <t>200-TSS12001TD</t>
  </si>
  <si>
    <t>https://www.mouser.ca/ProductDetail/Samtec/TSS-120-01-T-D?qs=rU5fayqh%252BE0fe8yiSPJ69Q%3D%3D</t>
  </si>
  <si>
    <t>Headers &amp; Wire Housings Micro-Fit+ RA Header 3 Circuits Black</t>
  </si>
  <si>
    <t>538-216571-1003</t>
  </si>
  <si>
    <t>https://www.mouser.ca/ProductDetail/Molex/216571-1003?qs=aP1CjGhiNiG31dsw841K9g%3D%3D</t>
  </si>
  <si>
    <t>Headers &amp; Wire Housings VERT HDR SMC 3P without board lock</t>
  </si>
  <si>
    <t>538-43160-0103</t>
  </si>
  <si>
    <t>https://www.mouser.ca/ProductDetail/Molex/43160-0103?qs=P7cO%252B%252BFDLzTsTkAe5N5p%252Bg%3D%3D</t>
  </si>
  <si>
    <t>Interface - I/O Expanders 16bit Input/Output Exp SPI interface</t>
  </si>
  <si>
    <t>579-MCP23S17-E/SO</t>
  </si>
  <si>
    <t>https://www.mouser.ca/ProductDetail/Microchip-Technology/MCP23S17-E-SO?qs=usxtMOJb1RzJScThsWtScg%3D%3D</t>
  </si>
  <si>
    <t>B2B-PH-K-S</t>
  </si>
  <si>
    <t>306-B2BPHKSLFSNPP</t>
  </si>
  <si>
    <t>https://www.mouser.ca/ProductDetail/JST-Commercial/B2B-PH-K-SLFSN?qs=cdbOS8ANM9AlozzPlOt72g%3D%3D</t>
  </si>
  <si>
    <t>Thick Film Resistors - SMD 0603 4K7ohm 5% Anti Surge AEC-Q200</t>
  </si>
  <si>
    <t>755-ESR03EZPJ472</t>
  </si>
  <si>
    <t>https://www.mouser.ca/ProductDetail/ROHM-Semiconductor/ESR03EZPJ472?qs=DyUWGjl%252BcVtkRvvrQHOTyA%3D%3D</t>
  </si>
  <si>
    <t>Thick Film Resistors - SMD 0805 Anti-Surge Res. 0.1%, 330ohm</t>
  </si>
  <si>
    <t>667-ERJ-PB6B3300V</t>
  </si>
  <si>
    <t>https://www.mouser.ca/ProductDetail/Panasonic/ERJ-PB6B3300V?qs=eFOtW6xYNWFhIWygg2og3A%3D%3D</t>
  </si>
  <si>
    <t>Thin Film Resistors - SMD 1KOhms 0805 0.25W 100ppm 1% Hi Pwr Anti-Sulfur</t>
  </si>
  <si>
    <t>708-RNCP0805FTD1K00</t>
  </si>
  <si>
    <t>https://www.mouser.ca/ProductDetail/SEI-Stackpole/RNCP0805FTD1K00?qs=FESYatJ8odKy9z1hnQn%252Bhg%3D%3D</t>
  </si>
  <si>
    <t>Thick Film Resistors - SMD 0805 Anti-Surge Res. 0.1%, 4.7Kohm</t>
  </si>
  <si>
    <t>667-ERJ-PB6B4701V</t>
  </si>
  <si>
    <t>https://www.mouser.ca/ProductDetail/Panasonic/ERJ-PB6B4701V?qs=eFOtW6xYNWEHNAylU4xJeQ%3D%3D</t>
  </si>
  <si>
    <t>SLW-1711575-5A-N-D</t>
  </si>
  <si>
    <t>179-SLW17115755AND</t>
  </si>
  <si>
    <t>https://www.mouser.ca/ProductDetail/Same-Sky/SLW-1711575-5A-N-D?qs=IKkN%2F947nfCI%2FYNFg6qyCw%3D%3D</t>
  </si>
  <si>
    <t>Bus Transceivers Tri-State Octal Bus A 595-SN74AHCT245PW A 595-SN74AHCT245PW</t>
  </si>
  <si>
    <t>595-SN74AHCT245PWR</t>
  </si>
  <si>
    <t>https://www.mouser.ca/ProductDetail/Texas-Instruments/SN74AHCT245PWR?qs=vxEfx8VrU7DerZZBYgV7Yw%3D%3D</t>
  </si>
  <si>
    <t>Commande de composants</t>
  </si>
  <si>
    <t>CONN MOD JACK 8P8C R/A SHIELDED</t>
  </si>
  <si>
    <t>DigiKey</t>
  </si>
  <si>
    <t>AE10387-ND</t>
  </si>
  <si>
    <t>https://www.digikey.ca/en/products/detail/assmann-wsw-components/A-2004-2-4-LPS-N-R/2183638?s=N4IgTCBcDaIIIFECMAGAzADgOwFoByAIiALoC%2BQA</t>
  </si>
  <si>
    <t xml:space="preserve"> </t>
  </si>
  <si>
    <t>CONN RCPT USB2.0 TYPEA 4POS R/A</t>
  </si>
  <si>
    <t>609-1045-ND</t>
  </si>
  <si>
    <t>https://www.digikey.ca/en/products/detail/amphenol-cs-fci/87520-0010BLF/1001359</t>
  </si>
  <si>
    <t>CONN HEADER VERT 8POS 2.54MM</t>
  </si>
  <si>
    <t>WM4206-ND</t>
  </si>
  <si>
    <t>https://www.digikey.ca/en/products/detail/molex/0022232081/26679?s=N4IgTCBcDaIOoFkAsYAMA2AtAOQCIgF0BfIA</t>
  </si>
  <si>
    <t>RES SMD 330 OHM 0.1% 1/4W 0805</t>
  </si>
  <si>
    <t>Digikey</t>
  </si>
  <si>
    <t>P20537CT-ND</t>
  </si>
  <si>
    <t>https://www.digikey.ca/en/products/detail/panasonic-industry/ERJ-PB6B3300V/6213320?s=N4IgTCBcDaIApgAwFYDMB2AwgFQLQDkAREAXQF8g</t>
  </si>
  <si>
    <t>CAP ALUM 330UF 20% 16V SMD</t>
  </si>
  <si>
    <t>732-8525-1-ND</t>
  </si>
  <si>
    <t>https://www.digikey.ca/en/products/detail/w%C3%BCrth-elektronik/865060353008/5728120?s=N4IgTCBcDaIOwGYwFoAcBWM7kEZkDkAREAXQF8g</t>
  </si>
  <si>
    <t>455-1706-ND</t>
  </si>
  <si>
    <t>https://www.digikey.ca/en/products/detail/jst-sales-america-inc/B4B-PH-K-S/926613</t>
  </si>
  <si>
    <t>CONN HEADER VERT 4POS 2MM</t>
  </si>
  <si>
    <t>FUSE AUTO 2A 32VDC BLADE ATO/ATC</t>
  </si>
  <si>
    <t>0287002.H-ND</t>
  </si>
  <si>
    <t>https://www.digikey.ca/en/products/detail/littelfuse-inc/0287002-H/3104041?s=N4IgTCBcDaIAxgBwHY4IHQAkC0A5AIiALoC%2BQA</t>
  </si>
  <si>
    <t>FUSE AUTO 10A 32VDC BLADE ATO</t>
  </si>
  <si>
    <t>F11064-ND</t>
  </si>
  <si>
    <t>https://www.digikey.ca/en/products/detail/littelfuse-inc/0287010-H/3104045?s=N4IgTCBcDaIGIEYEAYBsAWAtAOQCIgF0BfIA</t>
  </si>
  <si>
    <t>FUSE AUTO 20A 32VDC BLADE ATO</t>
  </si>
  <si>
    <t>F11066-ND</t>
  </si>
  <si>
    <t>https://www.digikey.ca/en/products/detail/littelfuse-inc/0287020-H/3104047?s=N4IgTCBcDaIGIEYEAYBsqC0A5AIiAugL5A</t>
  </si>
  <si>
    <t>CONN RCPT HSG 3POS 3.00MM</t>
  </si>
  <si>
    <t>900-2157591003-ND</t>
  </si>
  <si>
    <t>https://www.digikey.ca/en/products/detail/molex/2157591003/14668554?s=N4IgTCBcDaIJwAYEFowEYCsB2Dc1IGZkA5AERAF0BfIA</t>
  </si>
  <si>
    <t>MICRO-FIT PLUS FEMCRPTER 20-24AW</t>
  </si>
  <si>
    <t>WM26579CT-ND</t>
  </si>
  <si>
    <t>https://www.digikey.ca/en/products/detail/molex/2064600021/10209736?s=N4IgTCBcDaIOoFkwDYCsB2AnAYQCoFoA5AERAF0BfIA</t>
  </si>
  <si>
    <t>CONN HSG RCPT 3POS 7.50MM BLACK</t>
  </si>
  <si>
    <t>WM18464-ND</t>
  </si>
  <si>
    <t>https://www.digikey.ca/en/products/detail/molex/0444412003/300097?s=N4IgTCBcDaIOoFkCMAOALANjQWgHIBEQBdAXyA</t>
  </si>
  <si>
    <t>TERM BLADE FEMALE 14-16AWG TIN</t>
  </si>
  <si>
    <t>WM9174CT-ND</t>
  </si>
  <si>
    <t>https://www.digikey.ca/en/products/detail/molex/0433750001/592656?s=N4IgTCBcDaIOoFkCcBGA7AFgMIBUC0AcgCIgC6AvkA</t>
  </si>
  <si>
    <t>GPIO RIBBON CABLE FOR RASPBERRY</t>
  </si>
  <si>
    <t>1528-2235-ND</t>
  </si>
  <si>
    <t>https://www.digikey.ca/en/products/detail/adafruit-industries-llc/1988/7241480?s=N4IgTCBcDaIIwFYwA4C0YwGYGoHIBEQBdAXyA</t>
  </si>
  <si>
    <t>Prix hors taxe</t>
  </si>
  <si>
    <t>taxe</t>
  </si>
  <si>
    <t>Livraison</t>
  </si>
  <si>
    <t>Commande de composants électroniques</t>
  </si>
  <si>
    <t>Digikey + Mouser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</si>
</sst>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)\ &quot;$&quot;_ ;_ * \(#,##0.00\)\ &quot;$&quot;_ ;_ * &quot;-&quot;??_)\ &quot;$&quot;_ ;_ @_ "/>
    <numFmt numFmtId="165" formatCode="#,##0.00\ &quot;$&quot;"/>
    <numFmt numFmtId="166" formatCode="_ * #,##0.00_ \ [$$-C0C]_ ;_ * \-#,##0.00\ \ [$$-C0C]_ ;_ * &quot;-&quot;??_ \ [$$-C0C]_ ;_ @_ 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F11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1" applyNumberFormat="0" applyAlignment="0" applyProtection="0"/>
    <xf numFmtId="0" fontId="3" fillId="6" borderId="2" applyNumberFormat="0" applyFont="0" applyAlignment="0" applyProtection="0"/>
    <xf numFmtId="0" fontId="8" fillId="7" borderId="0" applyNumberFormat="0" applyBorder="0" applyAlignment="0" applyProtection="0"/>
    <xf numFmtId="164" fontId="3" fillId="0" borderId="0" applyFont="0" applyFill="0" applyBorder="0" applyAlignment="0" applyProtection="0"/>
  </cellStyleXfs>
  <cellXfs count="57">
    <xf numFmtId="0" fontId="0" fillId="0" borderId="0" xfId="0"/>
    <xf numFmtId="0" fontId="0" fillId="8" borderId="0" xfId="0" applyFill="1"/>
    <xf numFmtId="0" fontId="2" fillId="8" borderId="3" xfId="0" applyFont="1" applyFill="1" applyBorder="1"/>
    <xf numFmtId="0" fontId="1" fillId="8" borderId="3" xfId="1" applyFill="1" applyBorder="1" applyAlignment="1"/>
    <xf numFmtId="0" fontId="9" fillId="8" borderId="3" xfId="0" applyFont="1" applyFill="1" applyBorder="1" applyAlignment="1">
      <alignment vertical="center" wrapText="1"/>
    </xf>
    <xf numFmtId="0" fontId="1" fillId="8" borderId="3" xfId="1" applyFill="1" applyBorder="1"/>
    <xf numFmtId="165" fontId="2" fillId="8" borderId="0" xfId="0" applyNumberFormat="1" applyFont="1" applyFill="1"/>
    <xf numFmtId="0" fontId="8" fillId="8" borderId="3" xfId="7" applyFill="1" applyBorder="1"/>
    <xf numFmtId="165" fontId="10" fillId="8" borderId="3" xfId="5" applyNumberFormat="1" applyFont="1" applyFill="1" applyBorder="1"/>
    <xf numFmtId="0" fontId="11" fillId="8" borderId="3" xfId="6" applyFont="1" applyFill="1" applyBorder="1"/>
    <xf numFmtId="0" fontId="11" fillId="8" borderId="6" xfId="6" applyFont="1" applyFill="1" applyBorder="1"/>
    <xf numFmtId="0" fontId="10" fillId="8" borderId="0" xfId="0" applyFont="1" applyFill="1"/>
    <xf numFmtId="0" fontId="12" fillId="9" borderId="3" xfId="2" applyFont="1" applyFill="1" applyBorder="1"/>
    <xf numFmtId="0" fontId="12" fillId="9" borderId="3" xfId="5" applyFont="1" applyFill="1" applyBorder="1"/>
    <xf numFmtId="0" fontId="12" fillId="9" borderId="3" xfId="6" applyFont="1" applyFill="1" applyBorder="1"/>
    <xf numFmtId="0" fontId="12" fillId="9" borderId="3" xfId="3" applyFont="1" applyFill="1" applyBorder="1"/>
    <xf numFmtId="165" fontId="10" fillId="10" borderId="3" xfId="3" applyNumberFormat="1" applyFont="1" applyFill="1" applyBorder="1"/>
    <xf numFmtId="165" fontId="10" fillId="10" borderId="3" xfId="2" applyNumberFormat="1" applyFont="1" applyFill="1" applyBorder="1"/>
    <xf numFmtId="165" fontId="10" fillId="10" borderId="3" xfId="4" applyNumberFormat="1" applyFont="1" applyFill="1" applyBorder="1"/>
    <xf numFmtId="165" fontId="0" fillId="8" borderId="0" xfId="0" applyNumberFormat="1" applyFill="1"/>
    <xf numFmtId="164" fontId="11" fillId="8" borderId="3" xfId="8" applyFont="1" applyFill="1" applyBorder="1"/>
    <xf numFmtId="164" fontId="11" fillId="8" borderId="6" xfId="8" applyFont="1" applyFill="1" applyBorder="1"/>
    <xf numFmtId="0" fontId="0" fillId="0" borderId="8" xfId="0" applyBorder="1"/>
    <xf numFmtId="0" fontId="0" fillId="11" borderId="10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right"/>
    </xf>
    <xf numFmtId="166" fontId="0" fillId="0" borderId="10" xfId="0" applyNumberFormat="1" applyBorder="1" applyAlignment="1">
      <alignment horizontal="right"/>
    </xf>
    <xf numFmtId="166" fontId="0" fillId="0" borderId="10" xfId="0" applyNumberFormat="1" applyBorder="1"/>
    <xf numFmtId="0" fontId="0" fillId="0" borderId="9" xfId="0" applyBorder="1" applyAlignment="1">
      <alignment horizontal="right"/>
    </xf>
    <xf numFmtId="0" fontId="1" fillId="0" borderId="9" xfId="1" applyBorder="1" applyAlignment="1">
      <alignment horizontal="left" wrapText="1"/>
    </xf>
    <xf numFmtId="0" fontId="1" fillId="0" borderId="9" xfId="1" applyBorder="1" applyAlignment="1">
      <alignment wrapText="1"/>
    </xf>
    <xf numFmtId="0" fontId="0" fillId="0" borderId="14" xfId="0" applyBorder="1"/>
    <xf numFmtId="0" fontId="0" fillId="0" borderId="12" xfId="0" applyBorder="1"/>
    <xf numFmtId="0" fontId="1" fillId="0" borderId="10" xfId="1" applyBorder="1" applyAlignment="1">
      <alignment wrapText="1"/>
    </xf>
    <xf numFmtId="0" fontId="1" fillId="0" borderId="0" xfId="1" applyBorder="1" applyAlignment="1">
      <alignment wrapText="1"/>
    </xf>
    <xf numFmtId="0" fontId="1" fillId="0" borderId="11" xfId="1" applyBorder="1" applyAlignment="1">
      <alignment wrapText="1"/>
    </xf>
    <xf numFmtId="0" fontId="0" fillId="12" borderId="15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12" borderId="9" xfId="0" applyFill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5" xfId="8" applyFont="1" applyBorder="1" applyAlignment="1">
      <alignment horizontal="center"/>
    </xf>
    <xf numFmtId="164" fontId="0" fillId="0" borderId="16" xfId="8" applyFont="1" applyBorder="1" applyAlignment="1">
      <alignment horizontal="center"/>
    </xf>
    <xf numFmtId="0" fontId="10" fillId="8" borderId="4" xfId="2" applyFont="1" applyFill="1" applyBorder="1" applyAlignment="1">
      <alignment horizontal="center"/>
    </xf>
    <xf numFmtId="0" fontId="10" fillId="8" borderId="7" xfId="2" applyFont="1" applyFill="1" applyBorder="1" applyAlignment="1">
      <alignment horizontal="center"/>
    </xf>
    <xf numFmtId="0" fontId="10" fillId="8" borderId="5" xfId="2" applyFont="1" applyFill="1" applyBorder="1" applyAlignment="1">
      <alignment horizontal="center"/>
    </xf>
    <xf numFmtId="0" fontId="10" fillId="8" borderId="4" xfId="4" applyFont="1" applyFill="1" applyBorder="1" applyAlignment="1">
      <alignment horizontal="center"/>
    </xf>
    <xf numFmtId="0" fontId="10" fillId="8" borderId="7" xfId="4" applyFont="1" applyFill="1" applyBorder="1" applyAlignment="1">
      <alignment horizontal="center"/>
    </xf>
    <xf numFmtId="0" fontId="10" fillId="8" borderId="5" xfId="4" applyFont="1" applyFill="1" applyBorder="1" applyAlignment="1">
      <alignment horizontal="center"/>
    </xf>
    <xf numFmtId="0" fontId="10" fillId="8" borderId="4" xfId="3" applyFont="1" applyFill="1" applyBorder="1" applyAlignment="1">
      <alignment horizontal="center"/>
    </xf>
    <xf numFmtId="0" fontId="10" fillId="8" borderId="7" xfId="3" applyFont="1" applyFill="1" applyBorder="1" applyAlignment="1">
      <alignment horizontal="center"/>
    </xf>
    <xf numFmtId="0" fontId="10" fillId="8" borderId="5" xfId="3" applyFont="1" applyFill="1" applyBorder="1" applyAlignment="1">
      <alignment horizontal="center"/>
    </xf>
  </cellXfs>
  <cellStyles count="9">
    <cellStyle name="Accent3" xfId="7" builtinId="37"/>
    <cellStyle name="Bad" xfId="3" builtinId="27"/>
    <cellStyle name="Currency" xfId="8" builtinId="4"/>
    <cellStyle name="Good" xfId="2" builtinId="26"/>
    <cellStyle name="Hyperlink" xfId="1" xr:uid="{00000000-000B-0000-0000-000008000000}"/>
    <cellStyle name="Input" xfId="5" builtinId="20"/>
    <cellStyle name="Neutral" xfId="4" builtinId="28"/>
    <cellStyle name="Normal" xfId="0" builtinId="0"/>
    <cellStyle name="Note" xfId="6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a/ProductDetail/Espressif-Systems/ESP32-C3-DevKitC-02U?qs=Wj%2FVkw3K%252BMATroZS6qcRPw%3D%3D&amp;srsltid=AfmBOop4dOA_W64zC8mGJNEV9XQkA5mahy2ELQJGcGSCq69zkxNnXSsJ" TargetMode="External"/><Relationship Id="rId2" Type="http://schemas.openxmlformats.org/officeDocument/2006/relationships/hyperlink" Target="https://www.pishop.ca/product/raspberry-pi-4-model-b-4gb/?searchid=0&amp;search_query=Pi+4%60" TargetMode="External"/><Relationship Id="rId1" Type="http://schemas.openxmlformats.org/officeDocument/2006/relationships/hyperlink" Target="https://jlcpcb.com/?from=VGB&amp;utm_source=google&amp;utm_medium=cpc&amp;utm_campaign=13448786080&amp;utm_content=789450225270&amp;utm_term=p_jlcpcb&amp;adgroupid=120688669102&amp;utm_network=g_&amp;gad_source=1&amp;gad_campaignid=13448786080&amp;gbraid=0AAAAACUKBgTdJcc1hZeTUIw6JDYJ2iz0B&amp;gclid=Cj0KCQjwy_fOBhC6ARIsAHKFB7-wgIqX7sDG-9djyBGMz_9qNFyXqWfArIvAGk4lsY05awzY65SoxvoaAi5dEALw_wcB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waveshare.com/10.1inch-hdmi-lcd-b-with-case.htm" TargetMode="External"/><Relationship Id="rId4" Type="http://schemas.openxmlformats.org/officeDocument/2006/relationships/hyperlink" Target="https://www.pelican.com/ca/en/product/cases/1500?sku=1500-001-11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a/ProductDetail/Molex/43160-0103?qs=P7cO%252B%252BFDLzTsTkAe5N5p%252Bg%3D%3D" TargetMode="External"/><Relationship Id="rId13" Type="http://schemas.openxmlformats.org/officeDocument/2006/relationships/hyperlink" Target="https://www.mouser.ca/ProductDetail/SEI-Stackpole/RNCP0805FTD1K00?qs=FESYatJ8odKy9z1hnQn%252Bhg%3D%3D" TargetMode="External"/><Relationship Id="rId18" Type="http://schemas.openxmlformats.org/officeDocument/2006/relationships/hyperlink" Target="https://www.digikey.ca/en/products/detail/amphenol-cs-fci/87520-0010BLF/1001359" TargetMode="External"/><Relationship Id="rId26" Type="http://schemas.openxmlformats.org/officeDocument/2006/relationships/hyperlink" Target="https://www.digikey.ca/en/products/detail/molex/2157591003/14668554?s=N4IgTCBcDaIJwAYEFowEYCsB2Dc1IGZkA5AERAF0BfIA" TargetMode="External"/><Relationship Id="rId3" Type="http://schemas.openxmlformats.org/officeDocument/2006/relationships/hyperlink" Target="https://www.mouser.ca/ProductDetail/Keystone-Electronics/3557-20?qs=iR2ablhfrmF%2FWhSZXEYN7g%3D%3D" TargetMode="External"/><Relationship Id="rId21" Type="http://schemas.openxmlformats.org/officeDocument/2006/relationships/hyperlink" Target="https://www.digikey.ca/en/products/detail/w%C3%BCrth-elektronik/865060353008/5728120?s=N4IgTCBcDaIOwGYwFoAcBWM7kEZkDkAREAXQF8g" TargetMode="External"/><Relationship Id="rId7" Type="http://schemas.openxmlformats.org/officeDocument/2006/relationships/hyperlink" Target="https://www.mouser.ca/ProductDetail/Molex/216571-1003?qs=aP1CjGhiNiG31dsw841K9g%3D%3D" TargetMode="External"/><Relationship Id="rId12" Type="http://schemas.openxmlformats.org/officeDocument/2006/relationships/hyperlink" Target="https://www.mouser.ca/ProductDetail/Panasonic/ERJ-PB6B3300V?qs=eFOtW6xYNWFhIWygg2og3A%3D%3D" TargetMode="External"/><Relationship Id="rId17" Type="http://schemas.openxmlformats.org/officeDocument/2006/relationships/hyperlink" Target="https://www.digikey.ca/en/products/detail/assmann-wsw-components/A-2004-2-4-LPS-N-R/2183638?s=N4IgTCBcDaIIIFECMAGAzADgOwFoByAIiALoC%2BQA" TargetMode="External"/><Relationship Id="rId25" Type="http://schemas.openxmlformats.org/officeDocument/2006/relationships/hyperlink" Target="https://www.digikey.ca/en/products/detail/littelfuse-inc/0287020-H/3104047?s=N4IgTCBcDaIGIEYEAYBsqC0A5AIiAugL5A" TargetMode="External"/><Relationship Id="rId2" Type="http://schemas.openxmlformats.org/officeDocument/2006/relationships/hyperlink" Target="https://www.mouser.ca/ProductDetail/Dialight/5975316507F?qs=gTYE2QTfZfT42%252BCs2jfhAg%3D%3D" TargetMode="External"/><Relationship Id="rId16" Type="http://schemas.openxmlformats.org/officeDocument/2006/relationships/hyperlink" Target="https://www.mouser.ca/ProductDetail/Texas-Instruments/SN74AHCT245PWR?qs=vxEfx8VrU7DerZZBYgV7Yw%3D%3D" TargetMode="External"/><Relationship Id="rId20" Type="http://schemas.openxmlformats.org/officeDocument/2006/relationships/hyperlink" Target="https://www.digikey.ca/en/products/detail/panasonic-industry/ERJ-PB6B3300V/6213320?s=N4IgTCBcDaIApgAwFYDMB2AwgFQLQDkAREAXQF8g" TargetMode="External"/><Relationship Id="rId29" Type="http://schemas.openxmlformats.org/officeDocument/2006/relationships/hyperlink" Target="https://www.digikey.ca/en/products/detail/molex/0433750001/592656?s=N4IgTCBcDaIOoFkCcBGA7AFgMIBUC0AcgCIgC6AvkA" TargetMode="External"/><Relationship Id="rId1" Type="http://schemas.openxmlformats.org/officeDocument/2006/relationships/hyperlink" Target="https://www.mouser.ca/ProductDetail/KEMET/C0805C104M4RACTU?qs=VOOUd%252Bza08rn8%252BKVjcWMVQ%3D%3D" TargetMode="External"/><Relationship Id="rId6" Type="http://schemas.openxmlformats.org/officeDocument/2006/relationships/hyperlink" Target="https://www.mouser.ca/ProductDetail/Samtec/TSS-120-01-T-D?qs=rU5fayqh%252BE0fe8yiSPJ69Q%3D%3D" TargetMode="External"/><Relationship Id="rId11" Type="http://schemas.openxmlformats.org/officeDocument/2006/relationships/hyperlink" Target="https://www.mouser.ca/ProductDetail/ROHM-Semiconductor/ESR03EZPJ472?qs=DyUWGjl%252BcVtkRvvrQHOTyA%3D%3D" TargetMode="External"/><Relationship Id="rId24" Type="http://schemas.openxmlformats.org/officeDocument/2006/relationships/hyperlink" Target="https://www.digikey.ca/en/products/detail/littelfuse-inc/0287010-H/3104045?s=N4IgTCBcDaIGIEYEAYBsAWAtAOQCIgF0BfIA" TargetMode="External"/><Relationship Id="rId5" Type="http://schemas.openxmlformats.org/officeDocument/2006/relationships/hyperlink" Target="https://www.mouser.ca/ProductDetail/Molex/39-29-9243?qs=DQ3LI50eFWbK%252BUDchTyndA%3D%3D" TargetMode="External"/><Relationship Id="rId15" Type="http://schemas.openxmlformats.org/officeDocument/2006/relationships/hyperlink" Target="https://www.mouser.ca/ProductDetail/Same-Sky/SLW-1711575-5A-N-D?qs=IKkN%2F947nfCI%2FYNFg6qyCw%3D%3D" TargetMode="External"/><Relationship Id="rId23" Type="http://schemas.openxmlformats.org/officeDocument/2006/relationships/hyperlink" Target="https://www.digikey.ca/en/products/detail/littelfuse-inc/0287002-H/3104041?s=N4IgTCBcDaIAxgBwHY4IHQAkC0A5AIiALoC%2BQA" TargetMode="External"/><Relationship Id="rId28" Type="http://schemas.openxmlformats.org/officeDocument/2006/relationships/hyperlink" Target="https://www.digikey.ca/en/products/detail/molex/0444412003/300097?s=N4IgTCBcDaIOoFkCMAOALANjQWgHIBEQBdAXyA" TargetMode="External"/><Relationship Id="rId10" Type="http://schemas.openxmlformats.org/officeDocument/2006/relationships/hyperlink" Target="https://www.mouser.ca/ProductDetail/JST-Commercial/B2B-PH-K-SLFSN?qs=cdbOS8ANM9AlozzPlOt72g%3D%3D" TargetMode="External"/><Relationship Id="rId19" Type="http://schemas.openxmlformats.org/officeDocument/2006/relationships/hyperlink" Target="https://www.digikey.ca/en/products/detail/molex/0022232081/26679?s=N4IgTCBcDaIOoFkAsYAMA2AtAOQCIgF0BfIA" TargetMode="External"/><Relationship Id="rId4" Type="http://schemas.openxmlformats.org/officeDocument/2006/relationships/hyperlink" Target="https://www.mouser.ca/ProductDetail/Keystone-Electronics/3557-10?qs=iR2ablhfrmF7t%2F4oUDx%252B%2Fw%3D%3D" TargetMode="External"/><Relationship Id="rId9" Type="http://schemas.openxmlformats.org/officeDocument/2006/relationships/hyperlink" Target="https://www.mouser.ca/ProductDetail/Microchip-Technology/MCP23S17-E-SO?qs=usxtMOJb1RzJScThsWtScg%3D%3D" TargetMode="External"/><Relationship Id="rId14" Type="http://schemas.openxmlformats.org/officeDocument/2006/relationships/hyperlink" Target="https://www.mouser.ca/ProductDetail/Panasonic/ERJ-PB6B4701V?qs=eFOtW6xYNWEHNAylU4xJeQ%3D%3D" TargetMode="External"/><Relationship Id="rId22" Type="http://schemas.openxmlformats.org/officeDocument/2006/relationships/hyperlink" Target="https://www.digikey.ca/en/products/detail/jst-sales-america-inc/B4B-PH-K-S/926613" TargetMode="External"/><Relationship Id="rId27" Type="http://schemas.openxmlformats.org/officeDocument/2006/relationships/hyperlink" Target="https://www.digikey.ca/en/products/detail/molex/2064600021/10209736?s=N4IgTCBcDaIOoFkwDYCsB2AnAYQCoFoA5AERAF0BfIA" TargetMode="External"/><Relationship Id="rId30" Type="http://schemas.openxmlformats.org/officeDocument/2006/relationships/hyperlink" Target="https://www.digikey.ca/en/products/detail/adafruit-industries-llc/1988/7241480?s=N4IgTCBcDaIIwFYwA4C0YwGYGoHIBEQBdAX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124" zoomScaleNormal="145" workbookViewId="0">
      <selection activeCell="C23" sqref="C23"/>
    </sheetView>
  </sheetViews>
  <sheetFormatPr defaultColWidth="8.85546875" defaultRowHeight="15" x14ac:dyDescent="0.25"/>
  <cols>
    <col min="1" max="1" width="33.42578125" customWidth="1"/>
    <col min="2" max="2" width="23.85546875" customWidth="1"/>
    <col min="3" max="3" width="28.28515625" customWidth="1"/>
    <col min="4" max="4" width="11.85546875" bestFit="1" customWidth="1"/>
    <col min="5" max="5" width="8.140625" bestFit="1" customWidth="1"/>
    <col min="6" max="6" width="9.42578125" bestFit="1" customWidth="1"/>
    <col min="7" max="7" width="8.140625" bestFit="1" customWidth="1"/>
    <col min="8" max="8" width="9.28515625" customWidth="1"/>
  </cols>
  <sheetData>
    <row r="1" spans="1:8" s="11" customFormat="1" x14ac:dyDescent="0.25">
      <c r="A1" s="12" t="s">
        <v>134</v>
      </c>
      <c r="B1" s="12" t="s">
        <v>0</v>
      </c>
      <c r="C1" s="12" t="s">
        <v>1</v>
      </c>
      <c r="D1" s="13" t="s">
        <v>2</v>
      </c>
      <c r="E1" s="14" t="s">
        <v>3</v>
      </c>
      <c r="F1" s="14" t="s">
        <v>8</v>
      </c>
      <c r="G1" s="15" t="s">
        <v>4</v>
      </c>
    </row>
    <row r="2" spans="1:8" s="1" customFormat="1" x14ac:dyDescent="0.25">
      <c r="A2" s="2" t="s">
        <v>18</v>
      </c>
      <c r="B2" s="2" t="s">
        <v>17</v>
      </c>
      <c r="C2" s="3" t="s">
        <v>19</v>
      </c>
      <c r="D2" s="8">
        <v>139.94999999999999</v>
      </c>
      <c r="E2" s="9">
        <v>1</v>
      </c>
      <c r="F2" s="20">
        <v>11.83</v>
      </c>
      <c r="G2" s="16">
        <f>D2*E2+F2</f>
        <v>151.78</v>
      </c>
      <c r="H2" s="19"/>
    </row>
    <row r="3" spans="1:8" s="1" customFormat="1" x14ac:dyDescent="0.25">
      <c r="A3" s="2" t="s">
        <v>22</v>
      </c>
      <c r="B3" s="2" t="s">
        <v>20</v>
      </c>
      <c r="C3" s="3" t="s">
        <v>21</v>
      </c>
      <c r="D3" s="8">
        <v>12</v>
      </c>
      <c r="E3" s="9">
        <v>3</v>
      </c>
      <c r="F3" s="20">
        <v>0</v>
      </c>
      <c r="G3" s="16">
        <f>D3*E3+F3</f>
        <v>36</v>
      </c>
    </row>
    <row r="4" spans="1:8" s="1" customFormat="1" x14ac:dyDescent="0.25">
      <c r="A4" s="2" t="s">
        <v>24</v>
      </c>
      <c r="B4" s="2" t="s">
        <v>25</v>
      </c>
      <c r="C4" s="3" t="s">
        <v>23</v>
      </c>
      <c r="D4" s="8">
        <v>232.95</v>
      </c>
      <c r="E4" s="9">
        <v>1</v>
      </c>
      <c r="F4" s="20">
        <v>0</v>
      </c>
      <c r="G4" s="16">
        <f t="shared" ref="G4:G15" si="0">D4*E4+F4</f>
        <v>232.95</v>
      </c>
    </row>
    <row r="5" spans="1:8" s="1" customFormat="1" x14ac:dyDescent="0.25">
      <c r="A5" s="2" t="s">
        <v>28</v>
      </c>
      <c r="B5" s="2" t="s">
        <v>26</v>
      </c>
      <c r="C5" s="3" t="s">
        <v>27</v>
      </c>
      <c r="D5" s="8">
        <v>110.99</v>
      </c>
      <c r="E5" s="9">
        <v>1</v>
      </c>
      <c r="F5" s="20">
        <v>38</v>
      </c>
      <c r="G5" s="16">
        <f t="shared" si="0"/>
        <v>148.99</v>
      </c>
    </row>
    <row r="6" spans="1:8" s="1" customFormat="1" x14ac:dyDescent="0.25">
      <c r="A6" s="4" t="s">
        <v>29</v>
      </c>
      <c r="B6" s="2" t="s">
        <v>30</v>
      </c>
      <c r="C6" s="5" t="s">
        <v>31</v>
      </c>
      <c r="D6" s="8">
        <f>5.46+2.66</f>
        <v>8.120000000000001</v>
      </c>
      <c r="E6" s="9">
        <v>1</v>
      </c>
      <c r="F6" s="20">
        <v>50</v>
      </c>
      <c r="G6" s="16">
        <f t="shared" si="0"/>
        <v>58.120000000000005</v>
      </c>
      <c r="H6" s="6"/>
    </row>
    <row r="7" spans="1:8" s="1" customFormat="1" x14ac:dyDescent="0.25">
      <c r="A7" s="2" t="s">
        <v>134</v>
      </c>
      <c r="B7" s="2" t="s">
        <v>135</v>
      </c>
      <c r="C7" s="5" t="str">
        <f>HYPERLINK("#Commande!A1", "Commande")</f>
        <v>Commande</v>
      </c>
      <c r="D7" s="8">
        <v>237.16</v>
      </c>
      <c r="E7" s="9">
        <v>1</v>
      </c>
      <c r="F7" s="20"/>
      <c r="G7" s="16">
        <f t="shared" si="0"/>
        <v>237.16</v>
      </c>
    </row>
    <row r="8" spans="1:8" s="1" customFormat="1" x14ac:dyDescent="0.25">
      <c r="A8" s="2"/>
      <c r="B8" s="2"/>
      <c r="C8" s="7"/>
      <c r="D8" s="8"/>
      <c r="E8" s="10"/>
      <c r="F8" s="21"/>
      <c r="G8" s="16">
        <f t="shared" si="0"/>
        <v>0</v>
      </c>
    </row>
    <row r="9" spans="1:8" s="1" customFormat="1" x14ac:dyDescent="0.25">
      <c r="A9" s="2"/>
      <c r="B9" s="2"/>
      <c r="C9" s="5"/>
      <c r="D9" s="8"/>
      <c r="E9" s="9"/>
      <c r="F9" s="20"/>
      <c r="G9" s="16">
        <f t="shared" si="0"/>
        <v>0</v>
      </c>
    </row>
    <row r="10" spans="1:8" s="1" customFormat="1" x14ac:dyDescent="0.25">
      <c r="A10" s="2"/>
      <c r="B10" s="2"/>
      <c r="C10" s="5"/>
      <c r="D10" s="8"/>
      <c r="E10" s="9"/>
      <c r="F10" s="20"/>
      <c r="G10" s="16">
        <f t="shared" si="0"/>
        <v>0</v>
      </c>
    </row>
    <row r="11" spans="1:8" s="1" customFormat="1" x14ac:dyDescent="0.25">
      <c r="A11" s="2"/>
      <c r="B11" s="2"/>
      <c r="C11" s="5"/>
      <c r="D11" s="8"/>
      <c r="E11" s="9"/>
      <c r="F11" s="20"/>
      <c r="G11" s="16">
        <f t="shared" si="0"/>
        <v>0</v>
      </c>
    </row>
    <row r="12" spans="1:8" s="1" customFormat="1" x14ac:dyDescent="0.25">
      <c r="A12" s="2"/>
      <c r="B12" s="2"/>
      <c r="C12" s="5"/>
      <c r="D12" s="8"/>
      <c r="E12" s="9"/>
      <c r="F12" s="20"/>
      <c r="G12" s="16">
        <f t="shared" si="0"/>
        <v>0</v>
      </c>
    </row>
    <row r="13" spans="1:8" s="1" customFormat="1" x14ac:dyDescent="0.25">
      <c r="A13" s="2"/>
      <c r="B13" s="2"/>
      <c r="C13" s="5"/>
      <c r="D13" s="8"/>
      <c r="E13" s="9"/>
      <c r="F13" s="20"/>
      <c r="G13" s="16">
        <f t="shared" si="0"/>
        <v>0</v>
      </c>
    </row>
    <row r="14" spans="1:8" s="1" customFormat="1" x14ac:dyDescent="0.25">
      <c r="A14" s="2"/>
      <c r="B14" s="2"/>
      <c r="C14" s="5"/>
      <c r="D14" s="8"/>
      <c r="E14" s="9"/>
      <c r="F14" s="20"/>
      <c r="G14" s="16">
        <f t="shared" si="0"/>
        <v>0</v>
      </c>
    </row>
    <row r="15" spans="1:8" s="1" customFormat="1" x14ac:dyDescent="0.25">
      <c r="A15" s="2"/>
      <c r="B15" s="2"/>
      <c r="C15" s="5"/>
      <c r="D15" s="8"/>
      <c r="E15" s="9"/>
      <c r="F15" s="20"/>
      <c r="G15" s="16">
        <f t="shared" si="0"/>
        <v>0</v>
      </c>
    </row>
    <row r="16" spans="1:8" s="1" customFormat="1" x14ac:dyDescent="0.25">
      <c r="D16" s="11"/>
      <c r="E16" s="11"/>
      <c r="F16" s="11"/>
      <c r="G16" s="11"/>
    </row>
    <row r="17" spans="4:7" s="1" customFormat="1" x14ac:dyDescent="0.25">
      <c r="D17" s="48" t="s">
        <v>5</v>
      </c>
      <c r="E17" s="49"/>
      <c r="F17" s="50"/>
      <c r="G17" s="17">
        <f>SUM(G2:G15)</f>
        <v>865</v>
      </c>
    </row>
    <row r="18" spans="4:7" s="1" customFormat="1" x14ac:dyDescent="0.25">
      <c r="D18" s="51" t="s">
        <v>6</v>
      </c>
      <c r="E18" s="52"/>
      <c r="F18" s="53"/>
      <c r="G18" s="18">
        <f>G17*0.15</f>
        <v>129.75</v>
      </c>
    </row>
    <row r="19" spans="4:7" s="1" customFormat="1" x14ac:dyDescent="0.25">
      <c r="D19" s="54" t="s">
        <v>7</v>
      </c>
      <c r="E19" s="55"/>
      <c r="F19" s="56"/>
      <c r="G19" s="16">
        <f>G17+G18</f>
        <v>994.75</v>
      </c>
    </row>
    <row r="20" spans="4:7" s="1" customFormat="1" x14ac:dyDescent="0.25"/>
  </sheetData>
  <mergeCells count="3">
    <mergeCell ref="D17:F17"/>
    <mergeCell ref="D18:F18"/>
    <mergeCell ref="D19:F19"/>
  </mergeCells>
  <hyperlinks>
    <hyperlink ref="C6" r:id="rId1" display="https://jlcpcb.com/?from=VGB&amp;utm_source=google&amp;utm_medium=cpc&amp;utm_campaign=13448786080&amp;utm_content=789450225270&amp;utm_term=p_jlcpcb&amp;adgroupid=120688669102&amp;utm_network=g_&amp;gad_source=1&amp;gad_campaignid=13448786080&amp;gbraid=0AAAAACUKBgTdJcc1hZeTUIw6JDYJ2iz0B&amp;gclid=Cj0KCQjwy_fOBhC6ARIsAHKFB7-wgIqX7sDG-9djyBGMz_9qNFyXqWfArIvAGk4lsY05awzY65SoxvoaAi5dEALw_wcB" xr:uid="{20695D7A-0256-4EB6-8AE5-042B3B2987B4}"/>
    <hyperlink ref="C2" r:id="rId2" xr:uid="{5F7EE2A9-B81C-49A0-93C3-E0E7AB1B0E2F}"/>
    <hyperlink ref="C3" r:id="rId3" xr:uid="{EAFAC425-E5D0-4BB4-BCC5-44CDBB2D55E2}"/>
    <hyperlink ref="C4" r:id="rId4" xr:uid="{391AB739-82EA-46A1-BEB7-72B5D08DBD5C}"/>
    <hyperlink ref="C5" r:id="rId5" xr:uid="{7917EFC1-0E31-4B99-9DF5-86A3E446956D}"/>
  </hyperlinks>
  <pageMargins left="0.7" right="0.7" top="0.75" bottom="0.75" header="0.3" footer="0.3"/>
  <pageSetup orientation="portrait" horizontalDpi="4294967295" verticalDpi="4294967295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F392-5397-4E6E-9874-DDBD8C1FE3C2}">
  <dimension ref="A1:Q35"/>
  <sheetViews>
    <sheetView zoomScale="70" zoomScaleNormal="70" workbookViewId="0">
      <selection activeCell="J9" sqref="J9"/>
    </sheetView>
  </sheetViews>
  <sheetFormatPr defaultColWidth="11.42578125" defaultRowHeight="15" x14ac:dyDescent="0.25"/>
  <cols>
    <col min="1" max="1" width="36.42578125" customWidth="1"/>
    <col min="2" max="2" width="16.42578125" customWidth="1"/>
    <col min="3" max="3" width="18" customWidth="1"/>
    <col min="4" max="4" width="16.28515625" customWidth="1"/>
    <col min="5" max="5" width="16.140625" customWidth="1"/>
    <col min="6" max="6" width="23.140625" customWidth="1"/>
    <col min="7" max="7" width="51.42578125" customWidth="1"/>
  </cols>
  <sheetData>
    <row r="1" spans="1:17" ht="15.75" thickBot="1" x14ac:dyDescent="0.3">
      <c r="A1" s="22"/>
    </row>
    <row r="2" spans="1:17" ht="16.5" thickTop="1" thickBot="1" x14ac:dyDescent="0.3">
      <c r="A2" s="23" t="s">
        <v>85</v>
      </c>
    </row>
    <row r="3" spans="1:17" ht="16.5" thickTop="1" thickBot="1" x14ac:dyDescent="0.3">
      <c r="A3" s="22"/>
      <c r="B3" s="22"/>
      <c r="C3" s="22"/>
      <c r="D3" s="22"/>
      <c r="E3" s="22"/>
      <c r="F3" s="22"/>
      <c r="G3" s="22"/>
    </row>
    <row r="4" spans="1:17" ht="19.5" customHeight="1" thickTop="1" thickBot="1" x14ac:dyDescent="0.3">
      <c r="A4" s="23" t="s">
        <v>0</v>
      </c>
      <c r="B4" s="23" t="s">
        <v>2</v>
      </c>
      <c r="C4" s="24" t="s">
        <v>3</v>
      </c>
      <c r="D4" s="23" t="s">
        <v>32</v>
      </c>
      <c r="E4" s="23" t="s">
        <v>33</v>
      </c>
      <c r="F4" s="23" t="s">
        <v>34</v>
      </c>
      <c r="G4" s="23" t="s">
        <v>35</v>
      </c>
      <c r="I4" s="38" t="s">
        <v>131</v>
      </c>
      <c r="J4" s="42"/>
      <c r="K4" s="38" t="s">
        <v>132</v>
      </c>
      <c r="L4" s="39"/>
      <c r="M4" s="38" t="s">
        <v>133</v>
      </c>
      <c r="N4" s="42"/>
      <c r="O4" s="38" t="s">
        <v>4</v>
      </c>
      <c r="P4" s="39"/>
      <c r="Q4" s="34"/>
    </row>
    <row r="5" spans="1:17" ht="28.5" customHeight="1" thickTop="1" thickBot="1" x14ac:dyDescent="0.3">
      <c r="A5" s="26" t="s">
        <v>36</v>
      </c>
      <c r="B5" s="28">
        <v>0.18</v>
      </c>
      <c r="C5" s="25">
        <v>10</v>
      </c>
      <c r="D5" s="29">
        <f>C5*B5</f>
        <v>1.7999999999999998</v>
      </c>
      <c r="E5" s="30" t="s">
        <v>37</v>
      </c>
      <c r="F5" s="27" t="s">
        <v>38</v>
      </c>
      <c r="G5" s="35" t="s">
        <v>39</v>
      </c>
      <c r="I5" s="43">
        <f>SUM(D5:D34)</f>
        <v>184.26600000000002</v>
      </c>
      <c r="J5" s="44"/>
      <c r="K5" s="43">
        <f>I5*0.07</f>
        <v>12.898620000000003</v>
      </c>
      <c r="L5" s="45"/>
      <c r="M5" s="46">
        <v>40</v>
      </c>
      <c r="N5" s="47"/>
      <c r="O5" s="40">
        <f>I5+K5+M5</f>
        <v>237.16462000000001</v>
      </c>
      <c r="P5" s="41"/>
      <c r="Q5" s="34"/>
    </row>
    <row r="6" spans="1:17" ht="33.950000000000003" customHeight="1" thickTop="1" thickBot="1" x14ac:dyDescent="0.3">
      <c r="A6" s="26" t="s">
        <v>40</v>
      </c>
      <c r="B6" s="29">
        <v>0.75</v>
      </c>
      <c r="C6" s="25">
        <v>7</v>
      </c>
      <c r="D6" s="29">
        <f t="shared" ref="D6:D27" si="0">C6*B6</f>
        <v>5.25</v>
      </c>
      <c r="E6" s="30" t="s">
        <v>37</v>
      </c>
      <c r="F6" s="27" t="s">
        <v>41</v>
      </c>
      <c r="G6" s="35" t="s">
        <v>42</v>
      </c>
      <c r="H6" s="34"/>
      <c r="J6" s="33"/>
      <c r="O6" s="33"/>
      <c r="P6" s="33"/>
    </row>
    <row r="7" spans="1:17" ht="32.1" customHeight="1" thickTop="1" thickBot="1" x14ac:dyDescent="0.3">
      <c r="A7" s="26" t="s">
        <v>43</v>
      </c>
      <c r="B7" s="29">
        <v>1.97</v>
      </c>
      <c r="C7" s="25">
        <v>5</v>
      </c>
      <c r="D7" s="29">
        <f t="shared" si="0"/>
        <v>9.85</v>
      </c>
      <c r="E7" s="30" t="s">
        <v>37</v>
      </c>
      <c r="F7" s="27" t="s">
        <v>44</v>
      </c>
      <c r="G7" s="35" t="s">
        <v>45</v>
      </c>
    </row>
    <row r="8" spans="1:17" ht="27.6" customHeight="1" thickTop="1" thickBot="1" x14ac:dyDescent="0.3">
      <c r="A8" s="26" t="s">
        <v>46</v>
      </c>
      <c r="B8" s="29">
        <v>2.0299999999999998</v>
      </c>
      <c r="C8" s="25">
        <v>5</v>
      </c>
      <c r="D8" s="29">
        <f t="shared" si="0"/>
        <v>10.149999999999999</v>
      </c>
      <c r="E8" s="30" t="s">
        <v>37</v>
      </c>
      <c r="F8" s="27" t="s">
        <v>47</v>
      </c>
      <c r="G8" s="35" t="s">
        <v>48</v>
      </c>
    </row>
    <row r="9" spans="1:17" ht="32.1" customHeight="1" thickTop="1" thickBot="1" x14ac:dyDescent="0.3">
      <c r="A9" s="26" t="s">
        <v>49</v>
      </c>
      <c r="B9" s="29">
        <v>5.27</v>
      </c>
      <c r="C9" s="25">
        <v>3</v>
      </c>
      <c r="D9" s="29">
        <f t="shared" si="0"/>
        <v>15.809999999999999</v>
      </c>
      <c r="E9" s="30" t="s">
        <v>37</v>
      </c>
      <c r="F9" s="27" t="s">
        <v>50</v>
      </c>
      <c r="G9" s="35" t="s">
        <v>51</v>
      </c>
    </row>
    <row r="10" spans="1:17" ht="31.5" thickTop="1" thickBot="1" x14ac:dyDescent="0.3">
      <c r="A10" s="26" t="s">
        <v>52</v>
      </c>
      <c r="B10" s="29">
        <v>5.69</v>
      </c>
      <c r="C10" s="25">
        <v>3</v>
      </c>
      <c r="D10" s="29">
        <f t="shared" si="0"/>
        <v>17.07</v>
      </c>
      <c r="E10" s="30" t="s">
        <v>37</v>
      </c>
      <c r="F10" s="27" t="s">
        <v>53</v>
      </c>
      <c r="G10" s="35" t="s">
        <v>54</v>
      </c>
    </row>
    <row r="11" spans="1:17" ht="31.5" thickTop="1" thickBot="1" x14ac:dyDescent="0.3">
      <c r="A11" s="26" t="s">
        <v>55</v>
      </c>
      <c r="B11" s="29">
        <v>3.28</v>
      </c>
      <c r="C11" s="25">
        <v>10</v>
      </c>
      <c r="D11" s="29">
        <f t="shared" si="0"/>
        <v>32.799999999999997</v>
      </c>
      <c r="E11" s="30" t="s">
        <v>37</v>
      </c>
      <c r="F11" s="27" t="s">
        <v>56</v>
      </c>
      <c r="G11" s="35" t="s">
        <v>57</v>
      </c>
      <c r="H11" s="34"/>
    </row>
    <row r="12" spans="1:17" ht="28.5" customHeight="1" thickTop="1" thickBot="1" x14ac:dyDescent="0.3">
      <c r="A12" s="26" t="s">
        <v>58</v>
      </c>
      <c r="B12" s="29">
        <v>2.89</v>
      </c>
      <c r="C12" s="25">
        <v>5</v>
      </c>
      <c r="D12" s="29">
        <f t="shared" si="0"/>
        <v>14.450000000000001</v>
      </c>
      <c r="E12" s="30" t="s">
        <v>37</v>
      </c>
      <c r="F12" s="27" t="s">
        <v>59</v>
      </c>
      <c r="G12" s="35" t="s">
        <v>60</v>
      </c>
    </row>
    <row r="13" spans="1:17" ht="31.5" customHeight="1" thickTop="1" thickBot="1" x14ac:dyDescent="0.3">
      <c r="A13" s="26" t="s">
        <v>61</v>
      </c>
      <c r="B13" s="29">
        <v>2.59</v>
      </c>
      <c r="C13" s="25">
        <v>3</v>
      </c>
      <c r="D13" s="29">
        <f t="shared" si="0"/>
        <v>7.77</v>
      </c>
      <c r="E13" s="30" t="s">
        <v>37</v>
      </c>
      <c r="F13" s="27" t="s">
        <v>62</v>
      </c>
      <c r="G13" s="35" t="s">
        <v>63</v>
      </c>
    </row>
    <row r="14" spans="1:17" ht="46.5" thickTop="1" thickBot="1" x14ac:dyDescent="0.3">
      <c r="A14" s="26" t="s">
        <v>64</v>
      </c>
      <c r="B14" s="29">
        <v>0.15</v>
      </c>
      <c r="C14" s="25">
        <v>20</v>
      </c>
      <c r="D14" s="29">
        <f t="shared" si="0"/>
        <v>3</v>
      </c>
      <c r="E14" s="30" t="s">
        <v>37</v>
      </c>
      <c r="F14" s="27" t="s">
        <v>65</v>
      </c>
      <c r="G14" s="37" t="s">
        <v>66</v>
      </c>
    </row>
    <row r="15" spans="1:17" ht="29.45" customHeight="1" thickTop="1" thickBot="1" x14ac:dyDescent="0.3">
      <c r="A15" s="26" t="s">
        <v>67</v>
      </c>
      <c r="B15" s="29">
        <v>0.22</v>
      </c>
      <c r="C15" s="25">
        <v>24</v>
      </c>
      <c r="D15" s="29">
        <f>C15*B15</f>
        <v>5.28</v>
      </c>
      <c r="E15" s="30" t="s">
        <v>37</v>
      </c>
      <c r="F15" s="27" t="s">
        <v>68</v>
      </c>
      <c r="G15" s="35" t="s">
        <v>69</v>
      </c>
      <c r="H15" s="34"/>
    </row>
    <row r="16" spans="1:17" ht="31.5" thickTop="1" thickBot="1" x14ac:dyDescent="0.3">
      <c r="A16" s="26" t="s">
        <v>70</v>
      </c>
      <c r="B16" s="29">
        <v>0.32</v>
      </c>
      <c r="C16" s="25">
        <v>12</v>
      </c>
      <c r="D16" s="29">
        <f t="shared" si="0"/>
        <v>3.84</v>
      </c>
      <c r="E16" s="30" t="s">
        <v>37</v>
      </c>
      <c r="F16" s="27" t="s">
        <v>71</v>
      </c>
      <c r="G16" s="35" t="s">
        <v>72</v>
      </c>
      <c r="H16" s="34"/>
    </row>
    <row r="17" spans="1:8" ht="26.45" customHeight="1" thickTop="1" thickBot="1" x14ac:dyDescent="0.3">
      <c r="A17" s="26" t="s">
        <v>73</v>
      </c>
      <c r="B17" s="29">
        <v>0.15</v>
      </c>
      <c r="C17" s="25">
        <v>5</v>
      </c>
      <c r="D17" s="29">
        <f t="shared" si="0"/>
        <v>0.75</v>
      </c>
      <c r="E17" s="30" t="s">
        <v>37</v>
      </c>
      <c r="F17" s="27" t="s">
        <v>74</v>
      </c>
      <c r="G17" s="37" t="s">
        <v>75</v>
      </c>
    </row>
    <row r="18" spans="1:8" ht="31.5" thickTop="1" thickBot="1" x14ac:dyDescent="0.3">
      <c r="A18" s="26" t="s">
        <v>76</v>
      </c>
      <c r="B18" s="29">
        <v>0.32</v>
      </c>
      <c r="C18" s="25">
        <v>3</v>
      </c>
      <c r="D18" s="29">
        <f t="shared" si="0"/>
        <v>0.96</v>
      </c>
      <c r="E18" s="30" t="s">
        <v>37</v>
      </c>
      <c r="F18" s="27" t="s">
        <v>77</v>
      </c>
      <c r="G18" s="36" t="s">
        <v>78</v>
      </c>
      <c r="H18" s="34"/>
    </row>
    <row r="19" spans="1:8" ht="31.5" customHeight="1" thickTop="1" thickBot="1" x14ac:dyDescent="0.3">
      <c r="A19" s="26" t="s">
        <v>79</v>
      </c>
      <c r="B19" s="29">
        <v>0.61</v>
      </c>
      <c r="C19" s="25">
        <v>3</v>
      </c>
      <c r="D19" s="29">
        <f t="shared" si="0"/>
        <v>1.83</v>
      </c>
      <c r="E19" s="30" t="s">
        <v>37</v>
      </c>
      <c r="F19" s="27" t="s">
        <v>80</v>
      </c>
      <c r="G19" s="35" t="s">
        <v>81</v>
      </c>
      <c r="H19" s="34"/>
    </row>
    <row r="20" spans="1:8" ht="30.6" customHeight="1" thickTop="1" thickBot="1" x14ac:dyDescent="0.3">
      <c r="A20" s="26" t="s">
        <v>82</v>
      </c>
      <c r="B20" s="29">
        <v>1.04</v>
      </c>
      <c r="C20" s="25">
        <v>3</v>
      </c>
      <c r="D20" s="29">
        <f t="shared" si="0"/>
        <v>3.12</v>
      </c>
      <c r="E20" s="30" t="s">
        <v>37</v>
      </c>
      <c r="F20" s="27" t="s">
        <v>83</v>
      </c>
      <c r="G20" s="35" t="s">
        <v>84</v>
      </c>
    </row>
    <row r="21" spans="1:8" ht="27.6" customHeight="1" thickTop="1" thickBot="1" x14ac:dyDescent="0.3">
      <c r="A21" s="26" t="s">
        <v>86</v>
      </c>
      <c r="B21" s="29">
        <v>1.1879999999999999</v>
      </c>
      <c r="C21" s="25">
        <v>12</v>
      </c>
      <c r="D21" s="29">
        <f t="shared" si="0"/>
        <v>14.256</v>
      </c>
      <c r="E21" s="30" t="s">
        <v>87</v>
      </c>
      <c r="F21" s="27" t="s">
        <v>88</v>
      </c>
      <c r="G21" s="31" t="s">
        <v>89</v>
      </c>
      <c r="H21" t="s">
        <v>90</v>
      </c>
    </row>
    <row r="22" spans="1:8" ht="26.1" customHeight="1" thickTop="1" thickBot="1" x14ac:dyDescent="0.3">
      <c r="A22" s="26" t="s">
        <v>91</v>
      </c>
      <c r="B22" s="29">
        <v>0.97</v>
      </c>
      <c r="C22" s="25">
        <v>3</v>
      </c>
      <c r="D22" s="29">
        <f t="shared" si="0"/>
        <v>2.91</v>
      </c>
      <c r="E22" s="30" t="s">
        <v>87</v>
      </c>
      <c r="F22" s="27" t="s">
        <v>92</v>
      </c>
      <c r="G22" s="32" t="s">
        <v>93</v>
      </c>
    </row>
    <row r="23" spans="1:8" ht="46.5" thickTop="1" thickBot="1" x14ac:dyDescent="0.3">
      <c r="A23" s="26" t="s">
        <v>94</v>
      </c>
      <c r="B23" s="29">
        <v>0.49</v>
      </c>
      <c r="C23" s="25">
        <v>6</v>
      </c>
      <c r="D23" s="29">
        <f t="shared" si="0"/>
        <v>2.94</v>
      </c>
      <c r="E23" s="30" t="s">
        <v>87</v>
      </c>
      <c r="F23" s="27" t="s">
        <v>95</v>
      </c>
      <c r="G23" s="32" t="s">
        <v>96</v>
      </c>
    </row>
    <row r="24" spans="1:8" ht="38.1" customHeight="1" thickTop="1" thickBot="1" x14ac:dyDescent="0.3">
      <c r="A24" s="26" t="s">
        <v>97</v>
      </c>
      <c r="B24" s="29">
        <v>0.21</v>
      </c>
      <c r="C24" s="25">
        <v>3</v>
      </c>
      <c r="D24" s="29">
        <f t="shared" si="0"/>
        <v>0.63</v>
      </c>
      <c r="E24" s="30" t="s">
        <v>98</v>
      </c>
      <c r="F24" s="27" t="s">
        <v>99</v>
      </c>
      <c r="G24" s="32" t="s">
        <v>100</v>
      </c>
    </row>
    <row r="25" spans="1:8" ht="61.5" thickTop="1" thickBot="1" x14ac:dyDescent="0.3">
      <c r="A25" s="26" t="s">
        <v>101</v>
      </c>
      <c r="B25" s="29">
        <v>0.71</v>
      </c>
      <c r="C25" s="25">
        <v>10</v>
      </c>
      <c r="D25" s="29">
        <f t="shared" si="0"/>
        <v>7.1</v>
      </c>
      <c r="E25" s="30" t="s">
        <v>98</v>
      </c>
      <c r="F25" s="27" t="s">
        <v>102</v>
      </c>
      <c r="G25" s="32" t="s">
        <v>103</v>
      </c>
    </row>
    <row r="26" spans="1:8" ht="31.5" thickTop="1" thickBot="1" x14ac:dyDescent="0.3">
      <c r="A26" s="26" t="s">
        <v>106</v>
      </c>
      <c r="B26" s="29">
        <v>0.16</v>
      </c>
      <c r="C26" s="25">
        <v>6</v>
      </c>
      <c r="D26" s="29">
        <f t="shared" si="0"/>
        <v>0.96</v>
      </c>
      <c r="E26" s="30" t="s">
        <v>98</v>
      </c>
      <c r="F26" s="27" t="s">
        <v>104</v>
      </c>
      <c r="G26" s="32" t="s">
        <v>105</v>
      </c>
    </row>
    <row r="27" spans="1:8" ht="39.950000000000003" customHeight="1" thickTop="1" thickBot="1" x14ac:dyDescent="0.3">
      <c r="A27" s="26" t="s">
        <v>107</v>
      </c>
      <c r="B27" s="29">
        <v>0.6</v>
      </c>
      <c r="C27" s="25">
        <v>3</v>
      </c>
      <c r="D27" s="29">
        <f t="shared" si="0"/>
        <v>1.7999999999999998</v>
      </c>
      <c r="E27" s="30" t="s">
        <v>98</v>
      </c>
      <c r="F27" s="27" t="s">
        <v>108</v>
      </c>
      <c r="G27" s="32" t="s">
        <v>109</v>
      </c>
    </row>
    <row r="28" spans="1:8" ht="61.5" thickTop="1" thickBot="1" x14ac:dyDescent="0.3">
      <c r="A28" s="26" t="s">
        <v>110</v>
      </c>
      <c r="B28" s="29">
        <v>0.6</v>
      </c>
      <c r="C28" s="25">
        <v>3</v>
      </c>
      <c r="D28" s="29">
        <f>C28*B28</f>
        <v>1.7999999999999998</v>
      </c>
      <c r="E28" s="30" t="s">
        <v>98</v>
      </c>
      <c r="F28" s="27" t="s">
        <v>111</v>
      </c>
      <c r="G28" s="32" t="s">
        <v>112</v>
      </c>
    </row>
    <row r="29" spans="1:8" ht="39.950000000000003" customHeight="1" thickTop="1" thickBot="1" x14ac:dyDescent="0.3">
      <c r="A29" s="26" t="s">
        <v>113</v>
      </c>
      <c r="B29" s="29">
        <v>0.6</v>
      </c>
      <c r="C29" s="25">
        <v>3</v>
      </c>
      <c r="D29" s="29">
        <f t="shared" ref="D29:D34" si="1">C29*B29</f>
        <v>1.7999999999999998</v>
      </c>
      <c r="E29" s="30" t="s">
        <v>98</v>
      </c>
      <c r="F29" s="27" t="s">
        <v>114</v>
      </c>
      <c r="G29" s="32" t="s">
        <v>115</v>
      </c>
    </row>
    <row r="30" spans="1:8" ht="46.5" thickTop="1" thickBot="1" x14ac:dyDescent="0.3">
      <c r="A30" s="26" t="s">
        <v>116</v>
      </c>
      <c r="B30" s="29">
        <v>0.46400000000000002</v>
      </c>
      <c r="C30" s="25">
        <v>10</v>
      </c>
      <c r="D30" s="29">
        <f t="shared" si="1"/>
        <v>4.6400000000000006</v>
      </c>
      <c r="E30" s="30" t="s">
        <v>98</v>
      </c>
      <c r="F30" s="27" t="s">
        <v>117</v>
      </c>
      <c r="G30" s="32" t="s">
        <v>118</v>
      </c>
    </row>
    <row r="31" spans="1:8" ht="46.5" thickTop="1" thickBot="1" x14ac:dyDescent="0.3">
      <c r="A31" s="26" t="s">
        <v>119</v>
      </c>
      <c r="B31" s="29">
        <v>0.1258</v>
      </c>
      <c r="C31" s="25">
        <v>50</v>
      </c>
      <c r="D31" s="29">
        <f t="shared" si="1"/>
        <v>6.29</v>
      </c>
      <c r="E31" s="30" t="s">
        <v>98</v>
      </c>
      <c r="F31" s="27" t="s">
        <v>120</v>
      </c>
      <c r="G31" s="31" t="s">
        <v>121</v>
      </c>
    </row>
    <row r="32" spans="1:8" ht="46.5" thickTop="1" thickBot="1" x14ac:dyDescent="0.3">
      <c r="A32" s="26" t="s">
        <v>122</v>
      </c>
      <c r="B32" s="29">
        <v>0.78</v>
      </c>
      <c r="C32" s="25">
        <v>2</v>
      </c>
      <c r="D32" s="29">
        <f t="shared" si="1"/>
        <v>1.56</v>
      </c>
      <c r="E32" s="30" t="s">
        <v>98</v>
      </c>
      <c r="F32" s="27" t="s">
        <v>123</v>
      </c>
      <c r="G32" s="32" t="s">
        <v>124</v>
      </c>
    </row>
    <row r="33" spans="1:7" ht="46.5" thickTop="1" thickBot="1" x14ac:dyDescent="0.3">
      <c r="A33" s="26" t="s">
        <v>125</v>
      </c>
      <c r="B33" s="29">
        <v>0.09</v>
      </c>
      <c r="C33" s="25">
        <v>10</v>
      </c>
      <c r="D33" s="29">
        <f t="shared" si="1"/>
        <v>0.89999999999999991</v>
      </c>
      <c r="E33" s="30" t="s">
        <v>98</v>
      </c>
      <c r="F33" s="27" t="s">
        <v>126</v>
      </c>
      <c r="G33" s="32" t="s">
        <v>127</v>
      </c>
    </row>
    <row r="34" spans="1:7" ht="55.5" customHeight="1" thickTop="1" thickBot="1" x14ac:dyDescent="0.3">
      <c r="A34" s="26" t="s">
        <v>128</v>
      </c>
      <c r="B34" s="29">
        <v>2.95</v>
      </c>
      <c r="C34" s="25">
        <v>1</v>
      </c>
      <c r="D34" s="29">
        <f t="shared" si="1"/>
        <v>2.95</v>
      </c>
      <c r="E34" s="30" t="s">
        <v>98</v>
      </c>
      <c r="F34" s="27" t="s">
        <v>129</v>
      </c>
      <c r="G34" s="32" t="s">
        <v>130</v>
      </c>
    </row>
    <row r="35" spans="1:7" ht="15.75" thickTop="1" x14ac:dyDescent="0.25"/>
  </sheetData>
  <mergeCells count="8">
    <mergeCell ref="O4:P4"/>
    <mergeCell ref="O5:P5"/>
    <mergeCell ref="I4:J4"/>
    <mergeCell ref="K4:L4"/>
    <mergeCell ref="I5:J5"/>
    <mergeCell ref="K5:L5"/>
    <mergeCell ref="M4:N4"/>
    <mergeCell ref="M5:N5"/>
  </mergeCells>
  <hyperlinks>
    <hyperlink ref="G5" r:id="rId1" xr:uid="{F435C423-7A5F-4B43-9AEC-EBC86525D676}"/>
    <hyperlink ref="G6" r:id="rId2" xr:uid="{4A7C207F-9929-4642-94F6-7AD3550BD47C}"/>
    <hyperlink ref="G7" r:id="rId3" xr:uid="{A0FC1636-FB17-4850-A9A8-F739DA62C37D}"/>
    <hyperlink ref="G8" r:id="rId4" xr:uid="{157CC600-7FB8-4885-AD3D-36DC30809D9B}"/>
    <hyperlink ref="G9" r:id="rId5" xr:uid="{9230930B-6B96-443E-9E21-2131BD48BC4E}"/>
    <hyperlink ref="G10" r:id="rId6" xr:uid="{419BE006-D6D2-4888-8E6B-933F26EB3FE7}"/>
    <hyperlink ref="G11" r:id="rId7" xr:uid="{1E23738C-9366-4A0F-AB4C-A743F4D5048C}"/>
    <hyperlink ref="G12" r:id="rId8" xr:uid="{36A79AB6-FD8E-46D2-92F3-BA021538AF4F}"/>
    <hyperlink ref="G13" r:id="rId9" xr:uid="{4BBF0969-ACA7-49CB-B0D4-0A504EF0FEDA}"/>
    <hyperlink ref="G14" r:id="rId10" xr:uid="{B75716CB-9326-4697-846C-BAEE34471BCD}"/>
    <hyperlink ref="G15" r:id="rId11" xr:uid="{0505B81A-3F00-44ED-94F4-C4B7D7FFBF3B}"/>
    <hyperlink ref="G16" r:id="rId12" xr:uid="{C9F40565-7F64-45F6-8083-9BBC07469100}"/>
    <hyperlink ref="G17" r:id="rId13" xr:uid="{9688275D-FA7A-417A-953A-EB2332B030D7}"/>
    <hyperlink ref="G18" r:id="rId14" xr:uid="{DBC24E4A-8253-46C5-A2E2-2DD962ADAA51}"/>
    <hyperlink ref="G19" r:id="rId15" xr:uid="{D9EBA583-357E-4544-BADE-74241F5ADAE2}"/>
    <hyperlink ref="G20" r:id="rId16" xr:uid="{1CFAAD30-787A-4BCD-9ADB-E9DE2B68BDA3}"/>
    <hyperlink ref="G21" r:id="rId17" xr:uid="{D59B1A7C-6F0A-4661-A524-462286412D3B}"/>
    <hyperlink ref="G22" r:id="rId18" xr:uid="{528700CA-8B67-4439-97FD-FDF66D82F056}"/>
    <hyperlink ref="G23" r:id="rId19" xr:uid="{558CA6A1-FC22-4D12-9C54-DD44E4C53F1C}"/>
    <hyperlink ref="G24" r:id="rId20" xr:uid="{94769ED7-4D10-4B20-BA2A-C3F6837EEFEE}"/>
    <hyperlink ref="G25" r:id="rId21" xr:uid="{781853AB-DABB-4E13-8919-46DC8BF3E818}"/>
    <hyperlink ref="G26" r:id="rId22" xr:uid="{A0DAE87A-5D72-45F4-98A8-FD1CB428F500}"/>
    <hyperlink ref="G27" r:id="rId23" xr:uid="{FA299FC4-936E-4B44-91F8-44902D59A633}"/>
    <hyperlink ref="G28" r:id="rId24" xr:uid="{410A4568-4048-4691-BD7D-7FAB4233AACB}"/>
    <hyperlink ref="G29" r:id="rId25" xr:uid="{5414B111-5D60-49AC-AAEE-F25880EB2592}"/>
    <hyperlink ref="G30" r:id="rId26" xr:uid="{C874D5C1-2DBF-4215-B13D-6071777F0897}"/>
    <hyperlink ref="G31" r:id="rId27" xr:uid="{BE59B718-D0D3-437B-A43F-08148F0D2BE2}"/>
    <hyperlink ref="G32" r:id="rId28" xr:uid="{80925643-C795-417D-B785-5854DCED6590}"/>
    <hyperlink ref="G33" r:id="rId29" xr:uid="{C2B2ACEA-2236-4D2F-B191-AAA6B58621A5}"/>
    <hyperlink ref="G34" r:id="rId30" xr:uid="{EF052F02-58AA-4778-B8E5-C90A6BA5893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4EB1-337A-4322-941D-8726BA7C8E12}">
  <dimension ref="A2:A10"/>
  <sheetViews>
    <sheetView zoomScale="145" zoomScaleNormal="145" workbookViewId="0">
      <selection activeCell="F17" sqref="F17"/>
    </sheetView>
  </sheetViews>
  <sheetFormatPr defaultColWidth="11.42578125" defaultRowHeight="15" x14ac:dyDescent="0.25"/>
  <sheetData>
    <row r="2" spans="1:1" x14ac:dyDescent="0.25">
      <c r="A2" t="s">
        <v>15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BC01455FC934786542EF7BF766B28" ma:contentTypeVersion="3" ma:contentTypeDescription="Crée un document." ma:contentTypeScope="" ma:versionID="797b42ca94e5c5d001953b547a63d4ed">
  <xsd:schema xmlns:xsd="http://www.w3.org/2001/XMLSchema" xmlns:xs="http://www.w3.org/2001/XMLSchema" xmlns:p="http://schemas.microsoft.com/office/2006/metadata/properties" xmlns:ns2="18bc24e0-95e5-4369-95a9-ae4bab67a67f" targetNamespace="http://schemas.microsoft.com/office/2006/metadata/properties" ma:root="true" ma:fieldsID="151be21e9f1d95a1cde03f271c40a614" ns2:_="">
    <xsd:import namespace="18bc24e0-95e5-4369-95a9-ae4bab67a6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c24e0-95e5-4369-95a9-ae4bab67a6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3EE957-C7CB-4D6D-82A9-7153ECCB8F4C}">
  <ds:schemaRefs>
    <ds:schemaRef ds:uri="18bc24e0-95e5-4369-95a9-ae4bab67a67f"/>
    <ds:schemaRef ds:uri="http://schemas.microsoft.com/office/infopath/2007/PartnerControl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3E95A2D-E86D-4BB2-B369-D2BBA7B486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1AD79C-997B-43F9-B899-6C69DD792B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bc24e0-95e5-4369-95a9-ae4bab67a6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Liste</vt:lpstr>
      <vt:lpstr>Commande</vt:lpstr>
      <vt:lpstr>Infos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Barin Wahidi</dc:creator>
  <cp:keywords/>
  <dc:description/>
  <cp:lastModifiedBy>Breault, Jérémy</cp:lastModifiedBy>
  <cp:revision/>
  <dcterms:created xsi:type="dcterms:W3CDTF">2023-04-13T18:45:45Z</dcterms:created>
  <dcterms:modified xsi:type="dcterms:W3CDTF">2026-04-27T12:30:08Z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0x010100205BC01455FC934786542EF7BF766B28</vt:lpwstr>
  </property>
  <property fmtid="{D5CDD505-2E9C-101B-9397-08002B2CF9AE}" pid="3" name="MediaServiceImageTags">
    <vt:lpwstr/>
  </property>
  <property fmtid="{D5CDD505-2E9C-101B-9397-08002B2CF9AE}" pid="4" name="Order">
    <vt:r8>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